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/>
  <xr:revisionPtr revIDLastSave="0" documentId="13_ncr:1_{1C49A0F4-DE18-48CF-94CA-84E4588043D3}" xr6:coauthVersionLast="45" xr6:coauthVersionMax="45" xr10:uidLastSave="{00000000-0000-0000-0000-000000000000}"/>
  <bookViews>
    <workbookView xWindow="1035" yWindow="3225" windowWidth="21600" windowHeight="11385" xr2:uid="{00000000-000D-0000-FFFF-FFFF00000000}"/>
  </bookViews>
  <sheets>
    <sheet name="Hirsch" sheetId="2" r:id="rId1"/>
    <sheet name="Binder Information" sheetId="3" r:id="rId2"/>
    <sheet name="idk" sheetId="1" r:id="rId3"/>
    <sheet name="Witczak Prediction Eq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12" i="1" l="1"/>
  <c r="B13" i="1" s="1"/>
  <c r="D66" i="1" s="1"/>
  <c r="D63" i="1" l="1"/>
  <c r="F63" i="1" s="1"/>
  <c r="D67" i="1"/>
  <c r="F67" i="1" s="1"/>
  <c r="D53" i="1"/>
  <c r="F53" i="1" s="1"/>
  <c r="D30" i="1"/>
  <c r="F30" i="1" s="1"/>
  <c r="D58" i="1"/>
  <c r="F58" i="1" s="1"/>
  <c r="D27" i="1"/>
  <c r="F27" i="1" s="1"/>
  <c r="D65" i="1"/>
  <c r="F65" i="1" s="1"/>
  <c r="D46" i="1"/>
  <c r="F46" i="1" s="1"/>
  <c r="D56" i="1"/>
  <c r="F56" i="1" s="1"/>
  <c r="D39" i="1"/>
  <c r="F39" i="1" s="1"/>
  <c r="D37" i="1"/>
  <c r="F37" i="1" s="1"/>
  <c r="F66" i="1"/>
  <c r="E66" i="1"/>
  <c r="D57" i="1"/>
  <c r="D29" i="1"/>
  <c r="D44" i="1"/>
  <c r="D38" i="1"/>
  <c r="F38" i="1" s="1"/>
  <c r="D64" i="1"/>
  <c r="F64" i="1" s="1"/>
  <c r="D36" i="1"/>
  <c r="F36" i="1" s="1"/>
  <c r="D48" i="1"/>
  <c r="D49" i="1"/>
  <c r="F49" i="1" s="1"/>
  <c r="D26" i="1"/>
  <c r="D40" i="1"/>
  <c r="D55" i="1"/>
  <c r="D31" i="1"/>
  <c r="F31" i="1" s="1"/>
  <c r="D47" i="1"/>
  <c r="D62" i="1"/>
  <c r="F62" i="1" s="1"/>
  <c r="D28" i="1"/>
  <c r="D35" i="1"/>
  <c r="D45" i="1"/>
  <c r="D54" i="1"/>
  <c r="E37" i="1"/>
  <c r="G37" i="1" s="1"/>
  <c r="E27" i="1"/>
  <c r="G27" i="1" s="1"/>
  <c r="E30" i="1"/>
  <c r="G30" i="1" s="1"/>
  <c r="E53" i="1"/>
  <c r="G53" i="1" s="1"/>
  <c r="E36" i="1"/>
  <c r="G36" i="1" s="1"/>
  <c r="E49" i="1"/>
  <c r="G49" i="1" s="1"/>
  <c r="E63" i="1" l="1"/>
  <c r="G63" i="1" s="1"/>
  <c r="E39" i="1"/>
  <c r="G39" i="1" s="1"/>
  <c r="E58" i="1"/>
  <c r="G58" i="1" s="1"/>
  <c r="E67" i="1"/>
  <c r="G67" i="1" s="1"/>
  <c r="E65" i="1"/>
  <c r="G65" i="1" s="1"/>
  <c r="E46" i="1"/>
  <c r="G46" i="1" s="1"/>
  <c r="E56" i="1"/>
  <c r="G56" i="1" s="1"/>
  <c r="F47" i="1"/>
  <c r="E47" i="1"/>
  <c r="E38" i="1"/>
  <c r="G38" i="1" s="1"/>
  <c r="F55" i="1"/>
  <c r="E55" i="1"/>
  <c r="F44" i="1"/>
  <c r="E44" i="1"/>
  <c r="E31" i="1"/>
  <c r="G31" i="1" s="1"/>
  <c r="F54" i="1"/>
  <c r="E54" i="1"/>
  <c r="F40" i="1"/>
  <c r="E40" i="1"/>
  <c r="F29" i="1"/>
  <c r="E29" i="1"/>
  <c r="F45" i="1"/>
  <c r="E45" i="1"/>
  <c r="F26" i="1"/>
  <c r="E26" i="1"/>
  <c r="F57" i="1"/>
  <c r="E57" i="1"/>
  <c r="E64" i="1"/>
  <c r="G64" i="1" s="1"/>
  <c r="E62" i="1"/>
  <c r="G62" i="1" s="1"/>
  <c r="F35" i="1"/>
  <c r="E35" i="1"/>
  <c r="G66" i="1"/>
  <c r="F28" i="1"/>
  <c r="E28" i="1"/>
  <c r="F48" i="1"/>
  <c r="E48" i="1"/>
  <c r="G48" i="1" s="1"/>
  <c r="G57" i="1" l="1"/>
  <c r="G40" i="1"/>
  <c r="G28" i="1"/>
  <c r="G29" i="1"/>
  <c r="G44" i="1"/>
  <c r="G35" i="1"/>
  <c r="G45" i="1"/>
  <c r="G55" i="1"/>
  <c r="G26" i="1"/>
  <c r="G54" i="1"/>
  <c r="G47" i="1"/>
</calcChain>
</file>

<file path=xl/sharedStrings.xml><?xml version="1.0" encoding="utf-8"?>
<sst xmlns="http://schemas.openxmlformats.org/spreadsheetml/2006/main" count="70" uniqueCount="21">
  <si>
    <t>Temp</t>
  </si>
  <si>
    <t>Freq</t>
  </si>
  <si>
    <t xml:space="preserve">G* </t>
  </si>
  <si>
    <t>Pc</t>
  </si>
  <si>
    <t>Part 1</t>
  </si>
  <si>
    <t>Part 2</t>
  </si>
  <si>
    <t>E*</t>
  </si>
  <si>
    <t>C</t>
  </si>
  <si>
    <t>(hz)</t>
  </si>
  <si>
    <t>(psi)</t>
  </si>
  <si>
    <t>Average Volumetrics for Samples Tested</t>
  </si>
  <si>
    <t xml:space="preserve">Maximum Specific Gravity of Mix, Gmm = </t>
  </si>
  <si>
    <t xml:space="preserve">Bulk Gravity of Aggregate Blend, Gsb = </t>
  </si>
  <si>
    <t xml:space="preserve">Bulk Gravity of Compacted Sample, Gmb = </t>
  </si>
  <si>
    <t xml:space="preserve">Average Air Voids = </t>
  </si>
  <si>
    <t xml:space="preserve">% AC by Mixture Weight = </t>
  </si>
  <si>
    <t>Sample Volumetrics</t>
  </si>
  <si>
    <t xml:space="preserve">Average VMA (%) = </t>
  </si>
  <si>
    <t xml:space="preserve">Average VFA (%) = </t>
  </si>
  <si>
    <t>F</t>
  </si>
  <si>
    <t>Target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</si>
</sst>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Fill="1" applyBorder="1"/>
    <xf numFmtId="3" fontId="0" fillId="0" borderId="0" xfId="0" applyNumberFormat="1" applyFill="1" applyBorder="1"/>
    <xf numFmtId="3" fontId="0" fillId="0" borderId="0" xfId="0" applyNumberFormat="1"/>
    <xf numFmtId="0" fontId="1" fillId="0" borderId="0" xfId="0" applyFont="1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3" borderId="1" xfId="0" applyFill="1" applyBorder="1" applyAlignment="1">
      <alignment horizontal="right"/>
    </xf>
    <xf numFmtId="164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ork/Matlab/Dynamic%20Modulus/V11/Stone%20Industries%20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 Page"/>
      <sheetName val="1 - Max Limiting Modulus"/>
      <sheetName val="2 - Binder data"/>
      <sheetName val="3 - Witczak Prediction Eq"/>
      <sheetName val="4 - Hirsch Model"/>
      <sheetName val="5a - Data Sample #1"/>
      <sheetName val="5b - Data Sample #2"/>
      <sheetName val="5c - Data Sample #3"/>
      <sheetName val="5d - Average Data"/>
      <sheetName val="6a - Black Space"/>
      <sheetName val="6b - Phase Angle MC"/>
      <sheetName val="6c - E div phi"/>
      <sheetName val="7a - Ea Shifting"/>
      <sheetName val="7b - VTS Shifting"/>
      <sheetName val="7c - Experimental"/>
      <sheetName val="7d - Witczak PE VTS Shift"/>
      <sheetName val="7e - Hirsch Model VTS Shift"/>
      <sheetName val="7f - Hirsch Model Arhen Shift"/>
      <sheetName val="8 - Mastercurves"/>
      <sheetName val="9 - Ea Shift MC with StDev"/>
      <sheetName val="10 - Measured vs WPE"/>
    </sheetNames>
    <sheetDataSet>
      <sheetData sheetId="0"/>
      <sheetData sheetId="1">
        <row r="5">
          <cell r="B5">
            <v>2.6589999999999998</v>
          </cell>
        </row>
        <row r="6">
          <cell r="B6">
            <v>2.85</v>
          </cell>
        </row>
        <row r="7">
          <cell r="B7">
            <v>2.4781879999999998</v>
          </cell>
        </row>
        <row r="8">
          <cell r="B8">
            <v>6.8</v>
          </cell>
        </row>
        <row r="9">
          <cell r="B9">
            <v>5.4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B1" sqref="B1:B1048576"/>
    </sheetView>
  </sheetViews>
  <sheetFormatPr defaultRowHeight="15" x14ac:dyDescent="0.25"/>
  <cols>
    <col min="1" max="1" width="12" bestFit="1" customWidth="1"/>
    <col min="2" max="2" width="43.28515625" customWidth="1"/>
    <col min="3" max="3" width="17.5703125" customWidth="1"/>
    <col min="7" max="7" width="40.42578125" customWidth="1"/>
  </cols>
  <sheetData>
    <row r="1" spans="1:3" x14ac:dyDescent="0.25">
      <c r="A1" s="2" t="s">
        <v>20</v>
      </c>
      <c r="B1" s="2" t="s">
        <v>1</v>
      </c>
      <c r="C1" s="2" t="s">
        <v>2</v>
      </c>
    </row>
    <row r="2" spans="1:3" x14ac:dyDescent="0.25">
      <c r="A2" s="2" t="s">
        <v>19</v>
      </c>
      <c r="B2" s="2" t="s">
        <v>8</v>
      </c>
      <c r="C2" s="2" t="s">
        <v>9</v>
      </c>
    </row>
    <row r="3" spans="1:3" x14ac:dyDescent="0.25">
      <c r="A3" s="13">
        <v>39</v>
      </c>
      <c r="B3" s="13">
        <v>25</v>
      </c>
      <c r="C3" s="14">
        <v>7599.5633379000001</v>
      </c>
    </row>
    <row r="4" spans="1:3" x14ac:dyDescent="0.25">
      <c r="A4" s="13">
        <v>39</v>
      </c>
      <c r="B4" s="13">
        <v>10</v>
      </c>
      <c r="C4" s="14">
        <v>5423.2986058799997</v>
      </c>
    </row>
    <row r="5" spans="1:3" x14ac:dyDescent="0.25">
      <c r="A5" s="13">
        <v>39</v>
      </c>
      <c r="B5" s="13">
        <v>5</v>
      </c>
      <c r="C5" s="14">
        <v>4165.5508255800005</v>
      </c>
    </row>
    <row r="6" spans="1:3" x14ac:dyDescent="0.25">
      <c r="A6" s="13">
        <v>39</v>
      </c>
      <c r="B6" s="13">
        <v>1</v>
      </c>
      <c r="C6" s="14">
        <v>2150.5262885400002</v>
      </c>
    </row>
    <row r="7" spans="1:3" x14ac:dyDescent="0.25">
      <c r="A7" s="13">
        <v>39</v>
      </c>
      <c r="B7" s="13">
        <v>0.5</v>
      </c>
      <c r="C7" s="14">
        <v>1578.0424476000001</v>
      </c>
    </row>
    <row r="8" spans="1:3" x14ac:dyDescent="0.25">
      <c r="A8" s="13">
        <v>39</v>
      </c>
      <c r="B8" s="13">
        <v>0.1</v>
      </c>
      <c r="C8" s="14">
        <v>738.84097656000006</v>
      </c>
    </row>
    <row r="9" spans="1:3" x14ac:dyDescent="0.25">
      <c r="A9" s="13">
        <v>68</v>
      </c>
      <c r="B9" s="13">
        <v>25</v>
      </c>
      <c r="C9" s="14">
        <v>1211.4458491800001</v>
      </c>
    </row>
    <row r="10" spans="1:3" x14ac:dyDescent="0.25">
      <c r="A10" s="13">
        <v>68</v>
      </c>
      <c r="B10" s="13">
        <v>10</v>
      </c>
      <c r="C10" s="14">
        <v>775.69658274000005</v>
      </c>
    </row>
    <row r="11" spans="1:3" x14ac:dyDescent="0.25">
      <c r="A11" s="13">
        <v>68</v>
      </c>
      <c r="B11" s="13">
        <v>5</v>
      </c>
      <c r="C11" s="14">
        <v>550.69188143999997</v>
      </c>
    </row>
    <row r="12" spans="1:3" x14ac:dyDescent="0.25">
      <c r="A12" s="13">
        <v>68</v>
      </c>
      <c r="B12" s="13">
        <v>1</v>
      </c>
      <c r="C12" s="14">
        <v>231.36316722000001</v>
      </c>
    </row>
    <row r="13" spans="1:3" x14ac:dyDescent="0.25">
      <c r="A13" s="13">
        <v>68</v>
      </c>
      <c r="B13" s="13">
        <v>0.5</v>
      </c>
      <c r="C13" s="14">
        <v>152.86134971999999</v>
      </c>
    </row>
    <row r="14" spans="1:3" x14ac:dyDescent="0.25">
      <c r="A14" s="13">
        <v>68</v>
      </c>
      <c r="B14" s="13">
        <v>0.1</v>
      </c>
      <c r="C14" s="14">
        <v>56.902758540000001</v>
      </c>
    </row>
    <row r="15" spans="1:3" x14ac:dyDescent="0.25">
      <c r="A15" s="13">
        <v>113</v>
      </c>
      <c r="B15" s="13">
        <v>25</v>
      </c>
      <c r="C15" s="14">
        <v>20.348831400000002</v>
      </c>
    </row>
    <row r="16" spans="1:3" x14ac:dyDescent="0.25">
      <c r="A16" s="13">
        <v>113</v>
      </c>
      <c r="B16" s="13">
        <v>10</v>
      </c>
      <c r="C16" s="14">
        <v>11.11426194</v>
      </c>
    </row>
    <row r="17" spans="1:3" x14ac:dyDescent="0.25">
      <c r="A17" s="13">
        <v>113</v>
      </c>
      <c r="B17" s="13">
        <v>5</v>
      </c>
      <c r="C17" s="14">
        <v>6.8660989199999998</v>
      </c>
    </row>
    <row r="18" spans="1:3" x14ac:dyDescent="0.25">
      <c r="A18" s="13">
        <v>113</v>
      </c>
      <c r="B18" s="13">
        <v>1</v>
      </c>
      <c r="C18" s="14">
        <v>2.2176310200000002</v>
      </c>
    </row>
    <row r="19" spans="1:3" x14ac:dyDescent="0.25">
      <c r="A19" s="13">
        <v>113</v>
      </c>
      <c r="B19" s="13">
        <v>0.5</v>
      </c>
      <c r="C19" s="14">
        <v>1.3256473200000001</v>
      </c>
    </row>
    <row r="20" spans="1:3" x14ac:dyDescent="0.25">
      <c r="A20" s="13">
        <v>113</v>
      </c>
      <c r="B20" s="13">
        <v>0.1</v>
      </c>
      <c r="C20" s="14">
        <v>0.38870184000000002</v>
      </c>
    </row>
    <row r="21" spans="1:3" x14ac:dyDescent="0.25">
      <c r="A21" s="13"/>
      <c r="B21" s="13"/>
      <c r="C21" s="2"/>
    </row>
    <row r="44" spans="2:8" x14ac:dyDescent="0.25">
      <c r="B44" s="15"/>
      <c r="D44" s="3"/>
      <c r="E44" s="4"/>
      <c r="F44" s="5"/>
      <c r="G44" s="5"/>
      <c r="H44" s="6"/>
    </row>
    <row r="45" spans="2:8" x14ac:dyDescent="0.25">
      <c r="B45" s="15"/>
      <c r="D45" s="3"/>
      <c r="E45" s="4"/>
      <c r="F45" s="5"/>
      <c r="G45" s="5"/>
      <c r="H45" s="6"/>
    </row>
    <row r="46" spans="2:8" x14ac:dyDescent="0.25">
      <c r="B46" s="15"/>
      <c r="D46" s="3"/>
      <c r="E46" s="4"/>
      <c r="F46" s="5"/>
      <c r="G46" s="5"/>
      <c r="H46" s="6"/>
    </row>
    <row r="47" spans="2:8" x14ac:dyDescent="0.25">
      <c r="B47" s="15"/>
      <c r="D47" s="3"/>
      <c r="E47" s="4"/>
      <c r="F47" s="5"/>
      <c r="G47" s="5"/>
      <c r="H47" s="6"/>
    </row>
    <row r="48" spans="2:8" x14ac:dyDescent="0.25">
      <c r="B48" s="15"/>
      <c r="D48" s="3"/>
      <c r="E48" s="4"/>
      <c r="F48" s="5"/>
      <c r="G48" s="5"/>
      <c r="H48" s="6"/>
    </row>
    <row r="49" spans="2:8" x14ac:dyDescent="0.25">
      <c r="B49" s="15"/>
      <c r="D49" s="3"/>
      <c r="E49" s="4"/>
      <c r="F49" s="5"/>
      <c r="G49" s="5"/>
      <c r="H49" s="6"/>
    </row>
    <row r="50" spans="2:8" x14ac:dyDescent="0.25">
      <c r="B50" s="1"/>
    </row>
    <row r="51" spans="2:8" x14ac:dyDescent="0.25">
      <c r="B51" s="1"/>
      <c r="C51" s="2"/>
      <c r="D51" s="2"/>
      <c r="E51" s="2"/>
      <c r="F51" s="2"/>
      <c r="G51" s="2"/>
      <c r="H51" s="2"/>
    </row>
    <row r="52" spans="2:8" x14ac:dyDescent="0.25">
      <c r="B52" s="1"/>
      <c r="C52" s="2"/>
      <c r="D52" s="2"/>
      <c r="E52" s="2"/>
      <c r="F52" s="2"/>
      <c r="G52" s="2"/>
      <c r="H52" s="2"/>
    </row>
    <row r="53" spans="2:8" x14ac:dyDescent="0.25">
      <c r="B53" s="15"/>
      <c r="D53" s="3"/>
      <c r="E53" s="4"/>
      <c r="F53" s="5"/>
      <c r="G53" s="5"/>
      <c r="H53" s="6"/>
    </row>
    <row r="54" spans="2:8" x14ac:dyDescent="0.25">
      <c r="B54" s="15"/>
      <c r="D54" s="3"/>
      <c r="E54" s="4"/>
      <c r="F54" s="5"/>
      <c r="G54" s="5"/>
      <c r="H54" s="6"/>
    </row>
    <row r="55" spans="2:8" x14ac:dyDescent="0.25">
      <c r="B55" s="15"/>
      <c r="D55" s="3"/>
      <c r="E55" s="4"/>
      <c r="F55" s="5"/>
      <c r="G55" s="5"/>
      <c r="H55" s="6"/>
    </row>
    <row r="56" spans="2:8" x14ac:dyDescent="0.25">
      <c r="B56" s="15"/>
      <c r="D56" s="3"/>
      <c r="E56" s="4"/>
      <c r="F56" s="5"/>
      <c r="G56" s="5"/>
      <c r="H56" s="6"/>
    </row>
    <row r="57" spans="2:8" x14ac:dyDescent="0.25">
      <c r="B57" s="15"/>
      <c r="D57" s="3"/>
      <c r="E57" s="4"/>
      <c r="F57" s="5"/>
      <c r="G57" s="5"/>
      <c r="H57" s="6"/>
    </row>
    <row r="58" spans="2:8" x14ac:dyDescent="0.25">
      <c r="B58" s="15"/>
      <c r="D58" s="3"/>
      <c r="E58" s="4"/>
      <c r="F58" s="5"/>
      <c r="G58" s="5"/>
      <c r="H58" s="6"/>
    </row>
    <row r="59" spans="2:8" x14ac:dyDescent="0.25">
      <c r="B59" s="1"/>
    </row>
    <row r="60" spans="2:8" x14ac:dyDescent="0.25">
      <c r="B60" s="1"/>
      <c r="C60" s="2"/>
      <c r="D60" s="2"/>
      <c r="E60" s="2"/>
      <c r="F60" s="2"/>
      <c r="G60" s="2"/>
      <c r="H60" s="2"/>
    </row>
    <row r="61" spans="2:8" x14ac:dyDescent="0.25">
      <c r="B61" s="1"/>
      <c r="C61" s="2"/>
      <c r="D61" s="2"/>
      <c r="E61" s="2"/>
      <c r="F61" s="2"/>
      <c r="G61" s="2"/>
      <c r="H61" s="2"/>
    </row>
    <row r="62" spans="2:8" x14ac:dyDescent="0.25">
      <c r="B62" s="15"/>
      <c r="D62" s="3"/>
      <c r="E62" s="4"/>
      <c r="F62" s="5"/>
      <c r="G62" s="5"/>
      <c r="H62" s="6"/>
    </row>
    <row r="63" spans="2:8" x14ac:dyDescent="0.25">
      <c r="B63" s="15"/>
      <c r="D63" s="3"/>
      <c r="E63" s="4"/>
      <c r="F63" s="5"/>
      <c r="G63" s="5"/>
      <c r="H63" s="6"/>
    </row>
    <row r="64" spans="2:8" x14ac:dyDescent="0.25">
      <c r="B64" s="15"/>
      <c r="D64" s="3"/>
      <c r="E64" s="4"/>
      <c r="F64" s="5"/>
      <c r="G64" s="5"/>
      <c r="H64" s="6"/>
    </row>
    <row r="65" spans="2:8" x14ac:dyDescent="0.25">
      <c r="B65" s="15"/>
      <c r="D65" s="3"/>
      <c r="E65" s="4"/>
      <c r="F65" s="5"/>
      <c r="G65" s="5"/>
      <c r="H65" s="6"/>
    </row>
    <row r="66" spans="2:8" x14ac:dyDescent="0.25">
      <c r="B66" s="15"/>
      <c r="D66" s="3"/>
      <c r="E66" s="4"/>
      <c r="F66" s="5"/>
      <c r="G66" s="5"/>
      <c r="H66" s="6"/>
    </row>
    <row r="67" spans="2:8" x14ac:dyDescent="0.25">
      <c r="B67" s="15"/>
      <c r="D67" s="3"/>
      <c r="E67" s="4"/>
      <c r="F67" s="5"/>
      <c r="G67" s="5"/>
      <c r="H67" s="6"/>
    </row>
  </sheetData>
  <mergeCells count="3">
    <mergeCell ref="B53:B58"/>
    <mergeCell ref="B62:B67"/>
    <mergeCell ref="B44:B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G67"/>
  <sheetViews>
    <sheetView topLeftCell="A34" workbookViewId="0">
      <selection activeCell="A32" sqref="A32"/>
    </sheetView>
  </sheetViews>
  <sheetFormatPr defaultRowHeight="15" x14ac:dyDescent="0.25"/>
  <sheetData>
    <row r="4" spans="1:2" x14ac:dyDescent="0.25">
      <c r="A4" s="7" t="s">
        <v>10</v>
      </c>
    </row>
    <row r="5" spans="1:2" x14ac:dyDescent="0.25">
      <c r="A5" s="8" t="s">
        <v>11</v>
      </c>
      <c r="B5" s="9">
        <f>'[1]1 - Max Limiting Modulus'!B5</f>
        <v>2.6589999999999998</v>
      </c>
    </row>
    <row r="6" spans="1:2" x14ac:dyDescent="0.25">
      <c r="A6" s="8" t="s">
        <v>12</v>
      </c>
      <c r="B6" s="9">
        <f>'[1]1 - Max Limiting Modulus'!B6</f>
        <v>2.85</v>
      </c>
    </row>
    <row r="7" spans="1:2" x14ac:dyDescent="0.25">
      <c r="A7" s="8" t="s">
        <v>13</v>
      </c>
      <c r="B7" s="9">
        <f>'[1]1 - Max Limiting Modulus'!B7</f>
        <v>2.4781879999999998</v>
      </c>
    </row>
    <row r="8" spans="1:2" x14ac:dyDescent="0.25">
      <c r="A8" s="8" t="s">
        <v>14</v>
      </c>
      <c r="B8" s="9">
        <f>'[1]1 - Max Limiting Modulus'!B8</f>
        <v>6.8</v>
      </c>
    </row>
    <row r="9" spans="1:2" x14ac:dyDescent="0.25">
      <c r="A9" s="8" t="s">
        <v>15</v>
      </c>
      <c r="B9" s="9">
        <f>'[1]1 - Max Limiting Modulus'!B9</f>
        <v>5.4</v>
      </c>
    </row>
    <row r="10" spans="1:2" x14ac:dyDescent="0.25">
      <c r="A10" s="1"/>
    </row>
    <row r="11" spans="1:2" x14ac:dyDescent="0.25">
      <c r="A11" s="10" t="s">
        <v>16</v>
      </c>
    </row>
    <row r="12" spans="1:2" x14ac:dyDescent="0.25">
      <c r="A12" s="11" t="s">
        <v>17</v>
      </c>
      <c r="B12" s="12">
        <f>100-((B7*(100-B9))/B6)</f>
        <v>17.741549192982475</v>
      </c>
    </row>
    <row r="13" spans="1:2" x14ac:dyDescent="0.25">
      <c r="A13" s="11" t="s">
        <v>18</v>
      </c>
      <c r="B13" s="12">
        <f>(B12-B8)/B12*100</f>
        <v>61.671892764078997</v>
      </c>
    </row>
    <row r="24" spans="1:7" x14ac:dyDescent="0.25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</row>
    <row r="25" spans="1:7" x14ac:dyDescent="0.25">
      <c r="A25" s="1" t="s">
        <v>7</v>
      </c>
      <c r="B25" s="2" t="s">
        <v>8</v>
      </c>
      <c r="C25" s="2" t="s">
        <v>9</v>
      </c>
      <c r="D25" s="2"/>
      <c r="E25" s="2"/>
      <c r="F25" s="2"/>
      <c r="G25" s="2" t="s">
        <v>9</v>
      </c>
    </row>
    <row r="26" spans="1:7" x14ac:dyDescent="0.25">
      <c r="A26" s="15">
        <v>-10</v>
      </c>
      <c r="B26">
        <v>25</v>
      </c>
      <c r="C26" s="3">
        <v>29743.187774220001</v>
      </c>
      <c r="D26" s="4">
        <f t="shared" ref="D26:D31" si="0">((20+(3*C26*($B$13))/($B$12))^0.58)/(650+((3*C26*($B$13))/$B$12)^0.58)</f>
        <v>0.70207269212263379</v>
      </c>
      <c r="E26" s="5">
        <f t="shared" ref="E26:E31" si="1">D26*(4200000*(1-($B$12/100))+(3*C26)*(($B$12*$B$13)/10000))</f>
        <v>2432413.707821928</v>
      </c>
      <c r="F26" s="5">
        <f t="shared" ref="F26:F31" si="2">(1-D26)/(((1-$B$12/100)/4200000)+($B$12/((3*C26)*$B$13)))</f>
        <v>87116.893571425491</v>
      </c>
      <c r="G26" s="6">
        <f t="shared" ref="G26:G31" si="3">E26+F26</f>
        <v>2519530.6013933537</v>
      </c>
    </row>
    <row r="27" spans="1:7" x14ac:dyDescent="0.25">
      <c r="A27" s="15"/>
      <c r="B27">
        <v>10</v>
      </c>
      <c r="C27" s="3">
        <v>23919.733677479999</v>
      </c>
      <c r="D27" s="4">
        <f t="shared" si="0"/>
        <v>0.67498630993979802</v>
      </c>
      <c r="E27" s="5">
        <f t="shared" si="1"/>
        <v>2337279.4843084528</v>
      </c>
      <c r="F27" s="5">
        <f t="shared" si="2"/>
        <v>77296.484304625745</v>
      </c>
      <c r="G27" s="6">
        <f t="shared" si="3"/>
        <v>2414575.9686130784</v>
      </c>
    </row>
    <row r="28" spans="1:7" x14ac:dyDescent="0.25">
      <c r="A28" s="15"/>
      <c r="B28">
        <v>5</v>
      </c>
      <c r="C28" s="3">
        <v>20083.488730140001</v>
      </c>
      <c r="D28" s="4">
        <f t="shared" si="0"/>
        <v>0.65236564673341646</v>
      </c>
      <c r="E28" s="5">
        <f t="shared" si="1"/>
        <v>2258129.2858129037</v>
      </c>
      <c r="F28" s="5">
        <f t="shared" si="2"/>
        <v>69939.107990216231</v>
      </c>
      <c r="G28" s="6">
        <f t="shared" si="3"/>
        <v>2328068.3938031197</v>
      </c>
    </row>
    <row r="29" spans="1:7" x14ac:dyDescent="0.25">
      <c r="A29" s="15"/>
      <c r="B29">
        <v>1</v>
      </c>
      <c r="C29" s="3">
        <v>12983.946798000001</v>
      </c>
      <c r="D29" s="4">
        <f t="shared" si="0"/>
        <v>0.59303308117881359</v>
      </c>
      <c r="E29" s="5">
        <f t="shared" si="1"/>
        <v>2051370.7347867691</v>
      </c>
      <c r="F29" s="5">
        <f t="shared" si="2"/>
        <v>53680.418397756497</v>
      </c>
      <c r="G29" s="6">
        <f t="shared" si="3"/>
        <v>2105051.1531845257</v>
      </c>
    </row>
    <row r="30" spans="1:7" x14ac:dyDescent="0.25">
      <c r="A30" s="15"/>
      <c r="B30">
        <v>0.5</v>
      </c>
      <c r="C30" s="3">
        <v>10533.46307052</v>
      </c>
      <c r="D30" s="4">
        <f t="shared" si="0"/>
        <v>0.56346553779881048</v>
      </c>
      <c r="E30" s="5">
        <f t="shared" si="1"/>
        <v>1948639.9160840064</v>
      </c>
      <c r="F30" s="5">
        <f t="shared" si="2"/>
        <v>46942.089613199692</v>
      </c>
      <c r="G30" s="6">
        <f t="shared" si="3"/>
        <v>1995582.0056972061</v>
      </c>
    </row>
    <row r="31" spans="1:7" x14ac:dyDescent="0.25">
      <c r="A31" s="15"/>
      <c r="B31">
        <v>0.1</v>
      </c>
      <c r="C31" s="3">
        <v>5939.2422832800003</v>
      </c>
      <c r="D31" s="4">
        <f t="shared" si="0"/>
        <v>0.48076743207548273</v>
      </c>
      <c r="E31" s="5">
        <f t="shared" si="1"/>
        <v>1661919.0078650489</v>
      </c>
      <c r="F31" s="5">
        <f t="shared" si="2"/>
        <v>31774.113345715399</v>
      </c>
      <c r="G31" s="6">
        <f t="shared" si="3"/>
        <v>1693693.1212107644</v>
      </c>
    </row>
    <row r="32" spans="1:7" x14ac:dyDescent="0.25">
      <c r="A32" s="1"/>
    </row>
    <row r="33" spans="1:7" x14ac:dyDescent="0.25">
      <c r="A33" s="1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</row>
    <row r="34" spans="1:7" x14ac:dyDescent="0.25">
      <c r="A34" s="1" t="s">
        <v>7</v>
      </c>
      <c r="B34" s="2" t="s">
        <v>8</v>
      </c>
      <c r="C34" s="2" t="s">
        <v>9</v>
      </c>
      <c r="D34" s="2"/>
      <c r="E34" s="2"/>
      <c r="F34" s="2"/>
      <c r="G34" s="2" t="s">
        <v>9</v>
      </c>
    </row>
    <row r="35" spans="1:7" x14ac:dyDescent="0.25">
      <c r="A35" s="15">
        <v>4.4000000000000004</v>
      </c>
      <c r="B35">
        <v>25</v>
      </c>
      <c r="C35" s="3">
        <v>7599.5633379000001</v>
      </c>
      <c r="D35" s="4">
        <f>((20+(3*C35*($B$13))/($B$12))^0.58)/(650+((3*C35*($B$13))/$B$12)^0.58)</f>
        <v>0.51648131431150035</v>
      </c>
      <c r="E35" s="5">
        <f t="shared" ref="E35:E40" si="4">D35*(4200000*(1-($B$12/100))+(3*C35)*(($B$12*$B$13)/10000))</f>
        <v>1785656.3950861918</v>
      </c>
      <c r="F35" s="5">
        <f t="shared" ref="F35:F40" si="5">(1-D35)/(((1-$B$12/100)/4200000)+($B$12/((3*C35)*$B$13)))</f>
        <v>37733.728692522018</v>
      </c>
      <c r="G35" s="6">
        <f t="shared" ref="G35:G40" si="6">E35+F35</f>
        <v>1823390.1237787139</v>
      </c>
    </row>
    <row r="36" spans="1:7" x14ac:dyDescent="0.25">
      <c r="A36" s="15"/>
      <c r="B36">
        <v>10</v>
      </c>
      <c r="C36" s="3">
        <v>5423.2986058799997</v>
      </c>
      <c r="D36" s="4">
        <f t="shared" ref="D36:D40" si="7">((20+(3*C36*($B$13))/($B$12))^0.58)/(650+((3*C36*($B$13))/$B$12)^0.58)</f>
        <v>0.46763219239486736</v>
      </c>
      <c r="E36" s="5">
        <f t="shared" si="4"/>
        <v>1616433.8559904944</v>
      </c>
      <c r="F36" s="5">
        <f t="shared" si="5"/>
        <v>29778.867566260906</v>
      </c>
      <c r="G36" s="6">
        <f t="shared" si="6"/>
        <v>1646212.7235567553</v>
      </c>
    </row>
    <row r="37" spans="1:7" x14ac:dyDescent="0.25">
      <c r="A37" s="15"/>
      <c r="B37">
        <v>5</v>
      </c>
      <c r="C37" s="3">
        <v>4165.5508255800005</v>
      </c>
      <c r="D37" s="4">
        <f t="shared" si="7"/>
        <v>0.42981503355697964</v>
      </c>
      <c r="E37" s="5">
        <f t="shared" si="4"/>
        <v>1485536.2872094151</v>
      </c>
      <c r="F37" s="5">
        <f t="shared" si="5"/>
        <v>24559.860894364887</v>
      </c>
      <c r="G37" s="6">
        <f t="shared" si="6"/>
        <v>1510096.1481037801</v>
      </c>
    </row>
    <row r="38" spans="1:7" x14ac:dyDescent="0.25">
      <c r="A38" s="15"/>
      <c r="B38">
        <v>1</v>
      </c>
      <c r="C38" s="3">
        <v>2150.5262885400002</v>
      </c>
      <c r="D38" s="4">
        <f t="shared" si="7"/>
        <v>0.3394490805891528</v>
      </c>
      <c r="E38" s="5">
        <f t="shared" si="4"/>
        <v>1172986.9488935845</v>
      </c>
      <c r="F38" s="5">
        <f t="shared" si="5"/>
        <v>14749.07115247705</v>
      </c>
      <c r="G38" s="6">
        <f t="shared" si="6"/>
        <v>1187736.0200460616</v>
      </c>
    </row>
    <row r="39" spans="1:7" x14ac:dyDescent="0.25">
      <c r="A39" s="15"/>
      <c r="B39">
        <v>0.5</v>
      </c>
      <c r="C39" s="3">
        <v>1578.0424476000001</v>
      </c>
      <c r="D39" s="4">
        <f t="shared" si="7"/>
        <v>0.30047186515992674</v>
      </c>
      <c r="E39" s="5">
        <f t="shared" si="4"/>
        <v>1038242.3463259063</v>
      </c>
      <c r="F39" s="5">
        <f t="shared" si="5"/>
        <v>11474.75333096461</v>
      </c>
      <c r="G39" s="6">
        <f t="shared" si="6"/>
        <v>1049717.0996568711</v>
      </c>
    </row>
    <row r="40" spans="1:7" x14ac:dyDescent="0.25">
      <c r="A40" s="15"/>
      <c r="B40">
        <v>0.1</v>
      </c>
      <c r="C40" s="3">
        <v>738.84097656000006</v>
      </c>
      <c r="D40" s="4">
        <f t="shared" si="7"/>
        <v>0.21682309614893791</v>
      </c>
      <c r="E40" s="5">
        <f t="shared" si="4"/>
        <v>749144.92787186382</v>
      </c>
      <c r="F40" s="5">
        <f t="shared" si="5"/>
        <v>6025.2207933962572</v>
      </c>
      <c r="G40" s="6">
        <f t="shared" si="6"/>
        <v>755170.14866526006</v>
      </c>
    </row>
    <row r="41" spans="1:7" x14ac:dyDescent="0.25">
      <c r="A41" s="1"/>
    </row>
    <row r="42" spans="1:7" x14ac:dyDescent="0.25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</row>
    <row r="43" spans="1:7" x14ac:dyDescent="0.25">
      <c r="A43" s="1" t="s">
        <v>7</v>
      </c>
      <c r="B43" s="2" t="s">
        <v>8</v>
      </c>
      <c r="C43" s="2" t="s">
        <v>9</v>
      </c>
      <c r="D43" s="2"/>
      <c r="E43" s="2"/>
      <c r="F43" s="2"/>
      <c r="G43" s="2" t="s">
        <v>9</v>
      </c>
    </row>
    <row r="44" spans="1:7" x14ac:dyDescent="0.25">
      <c r="A44" s="15">
        <v>20</v>
      </c>
      <c r="B44">
        <v>25</v>
      </c>
      <c r="C44" s="3">
        <v>1211.4458491800001</v>
      </c>
      <c r="D44" s="4">
        <f t="shared" ref="D44:D49" si="8">((20+(3*C44*($B$13))/($B$12))^0.58)/(650+((3*C44*($B$13))/$B$12)^0.58)</f>
        <v>0.26930760939022907</v>
      </c>
      <c r="E44" s="5">
        <f t="shared" ref="E44:E49" si="9">D44*(4200000*(1-($B$12/100))+(3*C44)*(($B$12*$B$13)/10000))</f>
        <v>930525.81397040631</v>
      </c>
      <c r="F44" s="5">
        <f t="shared" ref="F44:F49" si="10">(1-D44)/(((1-$B$12/100)/4200000)+($B$12/((3*C44)*$B$13)))</f>
        <v>9208.3609831515914</v>
      </c>
      <c r="G44" s="6">
        <f t="shared" ref="G44:G49" si="11">E44+F44</f>
        <v>939734.1749535579</v>
      </c>
    </row>
    <row r="45" spans="1:7" x14ac:dyDescent="0.25">
      <c r="A45" s="15"/>
      <c r="B45">
        <v>10</v>
      </c>
      <c r="C45" s="3">
        <v>775.69658274000005</v>
      </c>
      <c r="D45" s="4">
        <f t="shared" si="8"/>
        <v>0.22164203540756888</v>
      </c>
      <c r="E45" s="5">
        <f t="shared" si="9"/>
        <v>765797.51400812867</v>
      </c>
      <c r="F45" s="5">
        <f t="shared" si="10"/>
        <v>6286.3814776181052</v>
      </c>
      <c r="G45" s="6">
        <f t="shared" si="11"/>
        <v>772083.89548574679</v>
      </c>
    </row>
    <row r="46" spans="1:7" x14ac:dyDescent="0.25">
      <c r="A46" s="15"/>
      <c r="B46">
        <v>5</v>
      </c>
      <c r="C46" s="3">
        <v>550.69188143999997</v>
      </c>
      <c r="D46" s="4">
        <f t="shared" si="8"/>
        <v>0.18935976423677575</v>
      </c>
      <c r="E46" s="5">
        <f t="shared" si="9"/>
        <v>654244.74493101565</v>
      </c>
      <c r="F46" s="5">
        <f t="shared" si="10"/>
        <v>4650.1356625354583</v>
      </c>
      <c r="G46" s="6">
        <f t="shared" si="11"/>
        <v>658894.88059355109</v>
      </c>
    </row>
    <row r="47" spans="1:7" x14ac:dyDescent="0.25">
      <c r="A47" s="15"/>
      <c r="B47">
        <v>1</v>
      </c>
      <c r="C47" s="3">
        <v>231.36316722000001</v>
      </c>
      <c r="D47" s="4">
        <f t="shared" si="8"/>
        <v>0.12409977444849375</v>
      </c>
      <c r="E47" s="5">
        <f t="shared" si="9"/>
        <v>428756.14269977686</v>
      </c>
      <c r="F47" s="5">
        <f t="shared" si="10"/>
        <v>2112.3246963575798</v>
      </c>
      <c r="G47" s="6">
        <f t="shared" si="11"/>
        <v>430868.46739613445</v>
      </c>
    </row>
    <row r="48" spans="1:7" x14ac:dyDescent="0.25">
      <c r="A48" s="15"/>
      <c r="B48">
        <v>0.5</v>
      </c>
      <c r="C48" s="3">
        <v>152.86134971999999</v>
      </c>
      <c r="D48" s="4">
        <f t="shared" si="8"/>
        <v>0.10047300320494972</v>
      </c>
      <c r="E48" s="5">
        <f t="shared" si="9"/>
        <v>347124.69219927827</v>
      </c>
      <c r="F48" s="5">
        <f t="shared" si="10"/>
        <v>1433.4855345355109</v>
      </c>
      <c r="G48" s="6">
        <f t="shared" si="11"/>
        <v>348558.17773381376</v>
      </c>
    </row>
    <row r="49" spans="1:7" x14ac:dyDescent="0.25">
      <c r="A49" s="15"/>
      <c r="B49">
        <v>0.1</v>
      </c>
      <c r="C49" s="3">
        <v>56.902758540000001</v>
      </c>
      <c r="D49" s="4">
        <f t="shared" si="8"/>
        <v>5.9932909338047249E-2</v>
      </c>
      <c r="E49" s="5">
        <f t="shared" si="9"/>
        <v>207060.62696388754</v>
      </c>
      <c r="F49" s="5">
        <f t="shared" si="10"/>
        <v>557.77454642365524</v>
      </c>
      <c r="G49" s="6">
        <f t="shared" si="11"/>
        <v>207618.4015103112</v>
      </c>
    </row>
    <row r="50" spans="1:7" x14ac:dyDescent="0.25">
      <c r="A50" s="1"/>
    </row>
    <row r="51" spans="1:7" x14ac:dyDescent="0.25">
      <c r="A51" s="1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</row>
    <row r="52" spans="1:7" x14ac:dyDescent="0.25">
      <c r="A52" s="1" t="s">
        <v>7</v>
      </c>
      <c r="B52" s="2" t="s">
        <v>8</v>
      </c>
      <c r="C52" s="2" t="s">
        <v>9</v>
      </c>
      <c r="D52" s="2"/>
      <c r="E52" s="2"/>
      <c r="F52" s="2"/>
      <c r="G52" s="2" t="s">
        <v>9</v>
      </c>
    </row>
    <row r="53" spans="1:7" x14ac:dyDescent="0.25">
      <c r="A53" s="15">
        <v>35</v>
      </c>
      <c r="B53">
        <v>25</v>
      </c>
      <c r="C53" s="3">
        <v>198.07984698000001</v>
      </c>
      <c r="D53" s="4">
        <f t="shared" ref="D53:D58" si="12">((20+(3*C53*($B$13))/($B$12))^0.58)/(650+((3*C53*($B$13))/$B$12)^0.58)</f>
        <v>0.11472047547880708</v>
      </c>
      <c r="E53" s="5">
        <f t="shared" ref="E53:E58" si="13">D53*(4200000*(1-($B$12/100))+(3*C53)*(($B$12*$B$13)/10000))</f>
        <v>396350.0597386437</v>
      </c>
      <c r="F53" s="5">
        <f t="shared" ref="F53:F58" si="14">(1-D53)/(((1-$B$12/100)/4200000)+($B$12/((3*C53)*$B$13)))</f>
        <v>1827.9404317954229</v>
      </c>
      <c r="G53" s="6">
        <f t="shared" ref="G53:G58" si="15">E53+F53</f>
        <v>398178.00017043913</v>
      </c>
    </row>
    <row r="54" spans="1:7" x14ac:dyDescent="0.25">
      <c r="A54" s="15"/>
      <c r="B54">
        <v>10</v>
      </c>
      <c r="C54" s="3">
        <v>115.32841608</v>
      </c>
      <c r="D54" s="4">
        <f t="shared" si="12"/>
        <v>8.6830860758984843E-2</v>
      </c>
      <c r="E54" s="5">
        <f t="shared" si="13"/>
        <v>299991.31478925969</v>
      </c>
      <c r="F54" s="5">
        <f t="shared" si="14"/>
        <v>1097.9997963258127</v>
      </c>
      <c r="G54" s="6">
        <f t="shared" si="15"/>
        <v>301089.3145855855</v>
      </c>
    </row>
    <row r="55" spans="1:7" x14ac:dyDescent="0.25">
      <c r="A55" s="15"/>
      <c r="B55">
        <v>5</v>
      </c>
      <c r="C55" s="3">
        <v>74.904875100000012</v>
      </c>
      <c r="D55" s="4">
        <f t="shared" si="12"/>
        <v>6.9267811245297808E-2</v>
      </c>
      <c r="E55" s="5">
        <f t="shared" si="13"/>
        <v>239311.9425466792</v>
      </c>
      <c r="F55" s="5">
        <f t="shared" si="14"/>
        <v>726.91791744221587</v>
      </c>
      <c r="G55" s="6">
        <f t="shared" si="15"/>
        <v>240038.86046412142</v>
      </c>
    </row>
    <row r="56" spans="1:7" x14ac:dyDescent="0.25">
      <c r="A56" s="15"/>
      <c r="B56">
        <v>1</v>
      </c>
      <c r="C56" s="3">
        <v>26.882793299999999</v>
      </c>
      <c r="D56" s="4">
        <f t="shared" si="12"/>
        <v>4.044744868567695E-2</v>
      </c>
      <c r="E56" s="5">
        <f t="shared" si="13"/>
        <v>139740.42457082029</v>
      </c>
      <c r="F56" s="5">
        <f t="shared" si="14"/>
        <v>268.99010526663687</v>
      </c>
      <c r="G56" s="6">
        <f t="shared" si="15"/>
        <v>140009.41467608692</v>
      </c>
    </row>
    <row r="57" spans="1:7" x14ac:dyDescent="0.25">
      <c r="A57" s="15"/>
      <c r="B57">
        <v>0.5</v>
      </c>
      <c r="C57" s="3">
        <v>16.87372092</v>
      </c>
      <c r="D57" s="4">
        <f t="shared" si="12"/>
        <v>3.1867657495631002E-2</v>
      </c>
      <c r="E57" s="5">
        <f t="shared" si="13"/>
        <v>110098.31023709931</v>
      </c>
      <c r="F57" s="5">
        <f t="shared" si="14"/>
        <v>170.35214884984714</v>
      </c>
      <c r="G57" s="6">
        <f t="shared" si="15"/>
        <v>110268.66238594917</v>
      </c>
    </row>
    <row r="58" spans="1:7" x14ac:dyDescent="0.25">
      <c r="A58" s="15"/>
      <c r="B58">
        <v>0.1</v>
      </c>
      <c r="C58" s="3">
        <v>5.6637339000000004</v>
      </c>
      <c r="D58" s="4">
        <f t="shared" si="12"/>
        <v>1.9092143444406857E-2</v>
      </c>
      <c r="E58" s="5">
        <f t="shared" si="13"/>
        <v>65960.62147175218</v>
      </c>
      <c r="F58" s="5">
        <f t="shared" si="14"/>
        <v>57.935268270217158</v>
      </c>
      <c r="G58" s="6">
        <f t="shared" si="15"/>
        <v>66018.556740022395</v>
      </c>
    </row>
    <row r="59" spans="1:7" x14ac:dyDescent="0.25">
      <c r="A59" s="1"/>
    </row>
    <row r="60" spans="1:7" x14ac:dyDescent="0.25">
      <c r="A60" s="1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</row>
    <row r="61" spans="1:7" x14ac:dyDescent="0.25">
      <c r="A61" s="1" t="s">
        <v>7</v>
      </c>
      <c r="B61" s="2" t="s">
        <v>8</v>
      </c>
      <c r="C61" s="2" t="s">
        <v>9</v>
      </c>
      <c r="D61" s="2"/>
      <c r="E61" s="2"/>
      <c r="F61" s="2"/>
      <c r="G61" s="2" t="s">
        <v>9</v>
      </c>
    </row>
    <row r="62" spans="1:7" x14ac:dyDescent="0.25">
      <c r="A62" s="15">
        <v>54.4</v>
      </c>
      <c r="B62">
        <v>25</v>
      </c>
      <c r="C62" s="3">
        <v>20.348831400000002</v>
      </c>
      <c r="D62" s="4">
        <f t="shared" ref="D62:D67" si="16">((20+(3*C62*($B$13))/($B$12))^0.58)/(650+((3*C62*($B$13))/$B$12)^0.58)</f>
        <v>3.5043101066369604E-2</v>
      </c>
      <c r="E62" s="5">
        <f t="shared" ref="E62:E67" si="17">D62*(4200000*(1-($B$12/100))+(3*C62)*(($B$12*$B$13)/10000))</f>
        <v>121069.06468613633</v>
      </c>
      <c r="F62" s="5">
        <f t="shared" ref="F62:F67" si="18">(1-D62)/(((1-$B$12/100)/4200000)+($B$12/((3*C62)*$B$13)))</f>
        <v>204.76057099420476</v>
      </c>
      <c r="G62" s="6">
        <f t="shared" ref="G62:G67" si="19">E62+F62</f>
        <v>121273.82525713053</v>
      </c>
    </row>
    <row r="63" spans="1:7" x14ac:dyDescent="0.25">
      <c r="A63" s="15"/>
      <c r="B63">
        <v>10</v>
      </c>
      <c r="C63" s="3">
        <v>11.11426194</v>
      </c>
      <c r="D63" s="4">
        <f t="shared" si="16"/>
        <v>2.5939737967196362E-2</v>
      </c>
      <c r="E63" s="5">
        <f t="shared" si="17"/>
        <v>89618.12633370611</v>
      </c>
      <c r="F63" s="5">
        <f t="shared" si="18"/>
        <v>112.89470891669457</v>
      </c>
      <c r="G63" s="6">
        <f t="shared" si="19"/>
        <v>89731.0210426228</v>
      </c>
    </row>
    <row r="64" spans="1:7" x14ac:dyDescent="0.25">
      <c r="A64" s="15"/>
      <c r="B64">
        <v>5</v>
      </c>
      <c r="C64" s="3">
        <v>6.8660989199999998</v>
      </c>
      <c r="D64" s="4">
        <f t="shared" si="16"/>
        <v>2.0754284426911726E-2</v>
      </c>
      <c r="E64" s="5">
        <f t="shared" si="17"/>
        <v>71703.088727211827</v>
      </c>
      <c r="F64" s="5">
        <f t="shared" si="18"/>
        <v>70.115274439394156</v>
      </c>
      <c r="G64" s="6">
        <f t="shared" si="19"/>
        <v>71773.204001651218</v>
      </c>
    </row>
    <row r="65" spans="1:7" x14ac:dyDescent="0.25">
      <c r="A65" s="15"/>
      <c r="B65">
        <v>1</v>
      </c>
      <c r="C65" s="3">
        <v>2.2176310200000002</v>
      </c>
      <c r="D65" s="4">
        <f t="shared" si="16"/>
        <v>1.3524639751259013E-2</v>
      </c>
      <c r="E65" s="5">
        <f t="shared" si="17"/>
        <v>46725.678218771238</v>
      </c>
      <c r="F65" s="5">
        <f t="shared" si="18"/>
        <v>22.813428369195005</v>
      </c>
      <c r="G65" s="6">
        <f t="shared" si="19"/>
        <v>46748.491647140436</v>
      </c>
    </row>
    <row r="66" spans="1:7" x14ac:dyDescent="0.25">
      <c r="A66" s="15"/>
      <c r="B66">
        <v>0.5</v>
      </c>
      <c r="C66" s="3">
        <v>1.3256473200000001</v>
      </c>
      <c r="D66" s="4">
        <f t="shared" si="16"/>
        <v>1.177566539410857E-2</v>
      </c>
      <c r="E66" s="5">
        <f t="shared" si="17"/>
        <v>40683.22081078148</v>
      </c>
      <c r="F66" s="5">
        <f t="shared" si="18"/>
        <v>13.66153058528058</v>
      </c>
      <c r="G66" s="6">
        <f t="shared" si="19"/>
        <v>40696.882341366763</v>
      </c>
    </row>
    <row r="67" spans="1:7" x14ac:dyDescent="0.25">
      <c r="A67" s="15"/>
      <c r="B67">
        <v>0.1</v>
      </c>
      <c r="C67" s="3">
        <v>0.38870184000000002</v>
      </c>
      <c r="D67" s="4">
        <f t="shared" si="16"/>
        <v>9.697692336914681E-3</v>
      </c>
      <c r="E67" s="5">
        <f t="shared" si="17"/>
        <v>33504.12145491151</v>
      </c>
      <c r="F67" s="5">
        <f t="shared" si="18"/>
        <v>4.0142187504862399</v>
      </c>
      <c r="G67" s="6">
        <f t="shared" si="19"/>
        <v>33508.135673662</v>
      </c>
    </row>
  </sheetData>
  <mergeCells count="5">
    <mergeCell ref="A53:A58"/>
    <mergeCell ref="A62:A67"/>
    <mergeCell ref="A26:A31"/>
    <mergeCell ref="A35:A40"/>
    <mergeCell ref="A44:A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37" sqref="F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Hirsch</vt:lpstr>
      <vt:lpstr>Binder Information</vt:lpstr>
      <vt:lpstr>idk</vt:lpstr>
      <vt:lpstr>Witczak Prediction 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2019-12-05T00:29:04Z</dcterms:modified>
</cp:coreProperties>
</file>